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aps_qp\example\"/>
    </mc:Choice>
  </mc:AlternateContent>
  <xr:revisionPtr revIDLastSave="0" documentId="13_ncr:1_{0065B7E9-D18E-474A-AAEC-DD3D11ECC4B7}" xr6:coauthVersionLast="47" xr6:coauthVersionMax="47" xr10:uidLastSave="{00000000-0000-0000-0000-000000000000}"/>
  <bookViews>
    <workbookView xWindow="11400" yWindow="4536" windowWidth="16344" windowHeight="12120" activeTab="1" xr2:uid="{773D4DF3-950D-4B5E-8C9A-B3658F9BE42F}"/>
  </bookViews>
  <sheets>
    <sheet name="m" sheetId="1" r:id="rId1"/>
    <sheet name="p" sheetId="2" r:id="rId2"/>
  </sheets>
  <definedNames>
    <definedName name="_xlnm._FilterDatabase" localSheetId="0" hidden="1">m!$A$1:$C$38</definedName>
    <definedName name="_xlnm._FilterDatabase" localSheetId="1" hidden="1">p!$A$1:$N$33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5" i="2" l="1"/>
  <c r="N14" i="2"/>
  <c r="N12" i="2"/>
  <c r="N11" i="2"/>
  <c r="N13" i="2"/>
  <c r="E37" i="2"/>
  <c r="D37" i="2"/>
  <c r="C35" i="2"/>
  <c r="H29" i="2"/>
  <c r="H30" i="2"/>
  <c r="H31" i="2"/>
  <c r="H32" i="2"/>
  <c r="H33" i="2"/>
  <c r="H28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2" i="2"/>
  <c r="D35" i="2" l="1"/>
  <c r="D39" i="2" l="1"/>
  <c r="E39" i="2"/>
</calcChain>
</file>

<file path=xl/sharedStrings.xml><?xml version="1.0" encoding="utf-8"?>
<sst xmlns="http://schemas.openxmlformats.org/spreadsheetml/2006/main" count="74" uniqueCount="32">
  <si>
    <t>m_id</t>
  </si>
  <si>
    <t>p_id</t>
  </si>
  <si>
    <t>machine</t>
  </si>
  <si>
    <t>name</t>
  </si>
  <si>
    <t>qty</t>
  </si>
  <si>
    <t>t</t>
  </si>
  <si>
    <t>q_minus</t>
  </si>
  <si>
    <t>q_minus_m</t>
  </si>
  <si>
    <t>m_count</t>
  </si>
  <si>
    <t>div</t>
  </si>
  <si>
    <t>78425p17</t>
  </si>
  <si>
    <t>78425p11</t>
  </si>
  <si>
    <t>strategy</t>
  </si>
  <si>
    <t>--</t>
  </si>
  <si>
    <t>++</t>
  </si>
  <si>
    <t>+</t>
  </si>
  <si>
    <t>=</t>
  </si>
  <si>
    <t>-</t>
  </si>
  <si>
    <t>PV73-045</t>
  </si>
  <si>
    <t>qty_d</t>
  </si>
  <si>
    <t>q_minus_m_d</t>
  </si>
  <si>
    <t>60410t2</t>
  </si>
  <si>
    <t>60410t3</t>
  </si>
  <si>
    <t>H1</t>
  </si>
  <si>
    <t>H2</t>
  </si>
  <si>
    <t>H3</t>
  </si>
  <si>
    <t>PRE</t>
  </si>
  <si>
    <t>QM_B</t>
  </si>
  <si>
    <t>cap</t>
  </si>
  <si>
    <t>fact</t>
  </si>
  <si>
    <t>min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</si>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</sst>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064-52F6-45F0-A5D9-03E5A32A1B19}">
  <sheetPr filterMode="1"/>
  <dimension ref="A1:C38"/>
  <sheetViews>
    <sheetView workbookViewId="0">
      <selection activeCell="A39" sqref="A39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hidden="1" x14ac:dyDescent="0.3">
      <c r="A2">
        <v>0</v>
      </c>
      <c r="B2">
        <v>104</v>
      </c>
      <c r="C2">
        <v>30</v>
      </c>
    </row>
    <row r="3" spans="1:3" x14ac:dyDescent="0.3">
      <c r="A3">
        <v>1</v>
      </c>
      <c r="B3">
        <v>105</v>
      </c>
      <c r="C3">
        <v>32</v>
      </c>
    </row>
    <row r="4" spans="1:3" hidden="1" x14ac:dyDescent="0.3">
      <c r="A4">
        <v>2</v>
      </c>
      <c r="B4">
        <v>115</v>
      </c>
      <c r="C4">
        <v>30</v>
      </c>
    </row>
    <row r="5" spans="1:3" hidden="1" x14ac:dyDescent="0.3">
      <c r="A5">
        <v>3</v>
      </c>
      <c r="B5">
        <v>116</v>
      </c>
      <c r="C5">
        <v>15</v>
      </c>
    </row>
    <row r="6" spans="1:3" hidden="1" x14ac:dyDescent="0.3">
      <c r="A6">
        <v>4</v>
      </c>
      <c r="B6">
        <v>119</v>
      </c>
      <c r="C6">
        <v>6</v>
      </c>
    </row>
    <row r="7" spans="1:3" hidden="1" x14ac:dyDescent="0.3">
      <c r="A7">
        <v>5</v>
      </c>
      <c r="B7">
        <v>121</v>
      </c>
      <c r="C7">
        <v>28</v>
      </c>
    </row>
    <row r="8" spans="1:3" hidden="1" x14ac:dyDescent="0.3">
      <c r="A8">
        <v>6</v>
      </c>
      <c r="B8">
        <v>122</v>
      </c>
      <c r="C8">
        <v>7</v>
      </c>
    </row>
    <row r="9" spans="1:3" hidden="1" x14ac:dyDescent="0.3">
      <c r="A9">
        <v>7</v>
      </c>
      <c r="B9">
        <v>123</v>
      </c>
      <c r="C9">
        <v>1</v>
      </c>
    </row>
    <row r="10" spans="1:3" hidden="1" x14ac:dyDescent="0.3">
      <c r="A10">
        <v>8</v>
      </c>
      <c r="B10">
        <v>124</v>
      </c>
      <c r="C10">
        <v>1</v>
      </c>
    </row>
    <row r="11" spans="1:3" hidden="1" x14ac:dyDescent="0.3">
      <c r="A11">
        <v>9</v>
      </c>
      <c r="B11">
        <v>125</v>
      </c>
      <c r="C11">
        <v>2</v>
      </c>
    </row>
    <row r="12" spans="1:3" hidden="1" x14ac:dyDescent="0.3">
      <c r="A12">
        <v>10</v>
      </c>
      <c r="B12">
        <v>126</v>
      </c>
      <c r="C12">
        <v>2</v>
      </c>
    </row>
    <row r="13" spans="1:3" hidden="1" x14ac:dyDescent="0.3">
      <c r="A13">
        <v>11</v>
      </c>
      <c r="B13">
        <v>127</v>
      </c>
      <c r="C13">
        <v>9</v>
      </c>
    </row>
    <row r="14" spans="1:3" hidden="1" x14ac:dyDescent="0.3">
      <c r="A14">
        <v>12</v>
      </c>
      <c r="B14">
        <v>128</v>
      </c>
      <c r="C14">
        <v>9</v>
      </c>
    </row>
    <row r="15" spans="1:3" hidden="1" x14ac:dyDescent="0.3">
      <c r="A15">
        <v>13</v>
      </c>
      <c r="B15">
        <v>13</v>
      </c>
      <c r="C15">
        <v>17</v>
      </c>
    </row>
    <row r="16" spans="1:3" hidden="1" x14ac:dyDescent="0.3">
      <c r="A16">
        <v>14</v>
      </c>
      <c r="B16">
        <v>133</v>
      </c>
      <c r="C16">
        <v>28</v>
      </c>
    </row>
    <row r="17" spans="1:3" hidden="1" x14ac:dyDescent="0.3">
      <c r="A17">
        <v>15</v>
      </c>
      <c r="B17">
        <v>134</v>
      </c>
      <c r="C17">
        <v>8</v>
      </c>
    </row>
    <row r="18" spans="1:3" hidden="1" x14ac:dyDescent="0.3">
      <c r="A18">
        <v>16</v>
      </c>
      <c r="B18">
        <v>135</v>
      </c>
      <c r="C18">
        <v>8</v>
      </c>
    </row>
    <row r="19" spans="1:3" hidden="1" x14ac:dyDescent="0.3">
      <c r="A19">
        <v>17</v>
      </c>
      <c r="B19">
        <v>137</v>
      </c>
      <c r="C19">
        <v>29</v>
      </c>
    </row>
    <row r="20" spans="1:3" hidden="1" x14ac:dyDescent="0.3">
      <c r="A20">
        <v>18</v>
      </c>
      <c r="B20">
        <v>139</v>
      </c>
      <c r="C20">
        <v>3</v>
      </c>
    </row>
    <row r="21" spans="1:3" hidden="1" x14ac:dyDescent="0.3">
      <c r="A21">
        <v>19</v>
      </c>
      <c r="B21">
        <v>140</v>
      </c>
      <c r="C21">
        <v>5</v>
      </c>
    </row>
    <row r="22" spans="1:3" hidden="1" x14ac:dyDescent="0.3">
      <c r="A22">
        <v>20</v>
      </c>
      <c r="B22">
        <v>141</v>
      </c>
      <c r="C22">
        <v>5</v>
      </c>
    </row>
    <row r="23" spans="1:3" hidden="1" x14ac:dyDescent="0.3">
      <c r="A23">
        <v>21</v>
      </c>
      <c r="B23">
        <v>20</v>
      </c>
      <c r="C23">
        <v>12</v>
      </c>
    </row>
    <row r="24" spans="1:3" hidden="1" x14ac:dyDescent="0.3">
      <c r="A24">
        <v>22</v>
      </c>
      <c r="B24">
        <v>29</v>
      </c>
      <c r="C24">
        <v>4</v>
      </c>
    </row>
    <row r="25" spans="1:3" hidden="1" x14ac:dyDescent="0.3">
      <c r="A25">
        <v>23</v>
      </c>
      <c r="B25">
        <v>34</v>
      </c>
      <c r="C25">
        <v>12</v>
      </c>
    </row>
    <row r="26" spans="1:3" hidden="1" x14ac:dyDescent="0.3">
      <c r="A26">
        <v>24</v>
      </c>
      <c r="B26">
        <v>35</v>
      </c>
      <c r="C26">
        <v>21</v>
      </c>
    </row>
    <row r="27" spans="1:3" hidden="1" x14ac:dyDescent="0.3">
      <c r="A27">
        <v>25</v>
      </c>
      <c r="B27">
        <v>53</v>
      </c>
      <c r="C27">
        <v>26</v>
      </c>
    </row>
    <row r="28" spans="1:3" hidden="1" x14ac:dyDescent="0.3">
      <c r="A28">
        <v>26</v>
      </c>
      <c r="B28">
        <v>57</v>
      </c>
      <c r="C28">
        <v>27</v>
      </c>
    </row>
    <row r="29" spans="1:3" hidden="1" x14ac:dyDescent="0.3">
      <c r="A29">
        <v>27</v>
      </c>
      <c r="B29">
        <v>6</v>
      </c>
      <c r="C29">
        <v>13</v>
      </c>
    </row>
    <row r="30" spans="1:3" hidden="1" x14ac:dyDescent="0.3">
      <c r="A30">
        <v>28</v>
      </c>
      <c r="B30">
        <v>61</v>
      </c>
      <c r="C30">
        <v>14</v>
      </c>
    </row>
    <row r="31" spans="1:3" hidden="1" x14ac:dyDescent="0.3">
      <c r="A31">
        <v>29</v>
      </c>
      <c r="B31">
        <v>70</v>
      </c>
      <c r="C31">
        <v>26</v>
      </c>
    </row>
    <row r="32" spans="1:3" hidden="1" x14ac:dyDescent="0.3">
      <c r="A32">
        <v>30</v>
      </c>
      <c r="B32">
        <v>77</v>
      </c>
      <c r="C32">
        <v>19</v>
      </c>
    </row>
    <row r="33" spans="1:3" hidden="1" x14ac:dyDescent="0.3">
      <c r="A33">
        <v>31</v>
      </c>
      <c r="B33">
        <v>85</v>
      </c>
      <c r="C33">
        <v>18</v>
      </c>
    </row>
    <row r="34" spans="1:3" hidden="1" x14ac:dyDescent="0.3">
      <c r="A34">
        <v>32</v>
      </c>
      <c r="B34">
        <v>91</v>
      </c>
      <c r="C34">
        <v>16</v>
      </c>
    </row>
    <row r="35" spans="1:3" hidden="1" x14ac:dyDescent="0.3">
      <c r="A35">
        <v>33</v>
      </c>
      <c r="B35">
        <v>95</v>
      </c>
      <c r="C35">
        <v>28</v>
      </c>
    </row>
    <row r="36" spans="1:3" hidden="1" x14ac:dyDescent="0.3">
      <c r="A36">
        <v>34</v>
      </c>
      <c r="B36">
        <v>96</v>
      </c>
      <c r="C36">
        <v>0</v>
      </c>
    </row>
    <row r="37" spans="1:3" hidden="1" x14ac:dyDescent="0.3">
      <c r="A37">
        <v>35</v>
      </c>
      <c r="B37">
        <v>97</v>
      </c>
      <c r="C37">
        <v>0</v>
      </c>
    </row>
    <row r="38" spans="1:3" hidden="1" x14ac:dyDescent="0.3">
      <c r="A38">
        <v>36</v>
      </c>
      <c r="B38">
        <v>98</v>
      </c>
      <c r="C38">
        <v>0</v>
      </c>
    </row>
  </sheetData>
  <autoFilter ref="A1:C38" xr:uid="{FBC52064-52F6-45F0-A5D9-03E5A32A1B19}">
    <filterColumn colId="2">
      <filters>
        <filter val="3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CE16-1F1B-483F-A08C-2277275ACBF3}">
  <sheetPr filterMode="1"/>
  <dimension ref="A1:O39"/>
  <sheetViews>
    <sheetView tabSelected="1" topLeftCell="E1" workbookViewId="0">
      <selection activeCell="S27" sqref="S27"/>
    </sheetView>
  </sheetViews>
  <sheetFormatPr defaultRowHeight="14.4" x14ac:dyDescent="0.3"/>
  <cols>
    <col min="7" max="7" width="10.33203125" bestFit="1" customWidth="1"/>
    <col min="8" max="8" width="12.109375" customWidth="1"/>
    <col min="11" max="11" width="8.88671875" style="1"/>
  </cols>
  <sheetData>
    <row r="1" spans="1:15" x14ac:dyDescent="0.3">
      <c r="A1" t="s">
        <v>1</v>
      </c>
      <c r="B1" t="s">
        <v>3</v>
      </c>
      <c r="C1" t="s">
        <v>4</v>
      </c>
      <c r="D1" t="s">
        <v>19</v>
      </c>
      <c r="E1" t="s">
        <v>5</v>
      </c>
      <c r="F1" t="s">
        <v>6</v>
      </c>
      <c r="G1" t="s">
        <v>7</v>
      </c>
      <c r="H1" t="s">
        <v>20</v>
      </c>
      <c r="I1" t="s">
        <v>8</v>
      </c>
      <c r="J1" t="s">
        <v>9</v>
      </c>
      <c r="K1" s="1" t="s">
        <v>12</v>
      </c>
      <c r="L1" t="s">
        <v>26</v>
      </c>
      <c r="M1" t="s">
        <v>30</v>
      </c>
      <c r="N1" t="s">
        <v>28</v>
      </c>
      <c r="O1" t="s">
        <v>29</v>
      </c>
    </row>
    <row r="2" spans="1:15" hidden="1" x14ac:dyDescent="0.3">
      <c r="A2">
        <v>1</v>
      </c>
      <c r="B2">
        <v>60406</v>
      </c>
      <c r="C2">
        <v>0</v>
      </c>
      <c r="D2">
        <f>INT(C2/3)</f>
        <v>0</v>
      </c>
      <c r="E2">
        <v>0</v>
      </c>
      <c r="F2" t="b">
        <v>0</v>
      </c>
      <c r="I2">
        <v>2</v>
      </c>
      <c r="J2">
        <v>2</v>
      </c>
      <c r="K2" s="2"/>
      <c r="L2" t="s">
        <v>23</v>
      </c>
    </row>
    <row r="3" spans="1:15" hidden="1" x14ac:dyDescent="0.3">
      <c r="A3">
        <v>2</v>
      </c>
      <c r="B3">
        <v>10427</v>
      </c>
      <c r="C3">
        <v>0</v>
      </c>
      <c r="D3">
        <f t="shared" ref="D3:D33" si="0">INT(C3/3)</f>
        <v>0</v>
      </c>
      <c r="E3">
        <v>0</v>
      </c>
      <c r="F3" t="b">
        <v>0</v>
      </c>
      <c r="I3">
        <v>2</v>
      </c>
      <c r="J3">
        <v>2</v>
      </c>
      <c r="K3" s="2"/>
      <c r="L3" t="s">
        <v>23</v>
      </c>
    </row>
    <row r="4" spans="1:15" hidden="1" x14ac:dyDescent="0.3">
      <c r="A4">
        <v>3</v>
      </c>
      <c r="B4">
        <v>10428</v>
      </c>
      <c r="C4">
        <v>0</v>
      </c>
      <c r="D4">
        <f t="shared" si="0"/>
        <v>0</v>
      </c>
      <c r="E4">
        <v>0</v>
      </c>
      <c r="F4" t="b">
        <v>0</v>
      </c>
      <c r="I4">
        <v>1</v>
      </c>
      <c r="J4">
        <v>2</v>
      </c>
      <c r="K4" s="2"/>
      <c r="L4" t="s">
        <v>23</v>
      </c>
    </row>
    <row r="5" spans="1:15" x14ac:dyDescent="0.3">
      <c r="A5">
        <v>4</v>
      </c>
      <c r="B5">
        <v>18316</v>
      </c>
      <c r="C5">
        <v>16</v>
      </c>
      <c r="D5">
        <f t="shared" si="0"/>
        <v>5</v>
      </c>
      <c r="E5">
        <v>0</v>
      </c>
      <c r="F5" t="b">
        <v>0</v>
      </c>
      <c r="I5">
        <v>1</v>
      </c>
      <c r="J5">
        <v>1</v>
      </c>
      <c r="K5" s="2"/>
      <c r="L5" t="s">
        <v>24</v>
      </c>
      <c r="M5" t="s">
        <v>31</v>
      </c>
      <c r="O5">
        <v>36</v>
      </c>
    </row>
    <row r="6" spans="1:15" hidden="1" x14ac:dyDescent="0.3">
      <c r="A6">
        <v>5</v>
      </c>
      <c r="B6">
        <v>15406</v>
      </c>
      <c r="C6">
        <v>14</v>
      </c>
      <c r="D6">
        <f t="shared" si="0"/>
        <v>4</v>
      </c>
      <c r="E6">
        <v>1</v>
      </c>
      <c r="F6" t="b">
        <v>0</v>
      </c>
      <c r="I6">
        <v>2</v>
      </c>
      <c r="J6">
        <v>2</v>
      </c>
      <c r="K6" s="2" t="s">
        <v>17</v>
      </c>
      <c r="L6" t="s">
        <v>24</v>
      </c>
    </row>
    <row r="7" spans="1:15" hidden="1" x14ac:dyDescent="0.3">
      <c r="A7">
        <v>6</v>
      </c>
      <c r="B7" t="s">
        <v>10</v>
      </c>
      <c r="C7">
        <v>29</v>
      </c>
      <c r="D7">
        <f t="shared" si="0"/>
        <v>9</v>
      </c>
      <c r="E7">
        <v>1</v>
      </c>
      <c r="F7" t="b">
        <v>0</v>
      </c>
      <c r="I7">
        <v>1</v>
      </c>
      <c r="J7">
        <v>2</v>
      </c>
      <c r="K7" s="2"/>
      <c r="L7" t="s">
        <v>24</v>
      </c>
    </row>
    <row r="8" spans="1:15" hidden="1" x14ac:dyDescent="0.3">
      <c r="A8">
        <v>7</v>
      </c>
      <c r="B8" t="s">
        <v>11</v>
      </c>
      <c r="C8">
        <v>31</v>
      </c>
      <c r="D8">
        <f t="shared" si="0"/>
        <v>10</v>
      </c>
      <c r="E8">
        <v>1</v>
      </c>
      <c r="F8" t="b">
        <v>0</v>
      </c>
      <c r="I8">
        <v>1</v>
      </c>
      <c r="J8">
        <v>2</v>
      </c>
      <c r="K8" s="2"/>
      <c r="L8" t="s">
        <v>27</v>
      </c>
    </row>
    <row r="9" spans="1:15" hidden="1" x14ac:dyDescent="0.3">
      <c r="A9">
        <v>8</v>
      </c>
      <c r="B9">
        <v>78426</v>
      </c>
      <c r="C9">
        <v>32</v>
      </c>
      <c r="D9">
        <f t="shared" si="0"/>
        <v>10</v>
      </c>
      <c r="E9">
        <v>1</v>
      </c>
      <c r="F9" t="b">
        <v>0</v>
      </c>
      <c r="I9">
        <v>2</v>
      </c>
      <c r="J9">
        <v>2</v>
      </c>
      <c r="K9" s="2" t="s">
        <v>15</v>
      </c>
      <c r="L9" t="s">
        <v>27</v>
      </c>
    </row>
    <row r="10" spans="1:15" hidden="1" x14ac:dyDescent="0.3">
      <c r="A10">
        <v>9</v>
      </c>
      <c r="B10">
        <v>60405</v>
      </c>
      <c r="C10">
        <v>43</v>
      </c>
      <c r="D10">
        <f t="shared" si="0"/>
        <v>14</v>
      </c>
      <c r="E10">
        <v>1</v>
      </c>
      <c r="F10" t="b">
        <v>0</v>
      </c>
      <c r="I10">
        <v>2</v>
      </c>
      <c r="J10">
        <v>2</v>
      </c>
      <c r="K10" s="2" t="s">
        <v>13</v>
      </c>
      <c r="L10" t="s">
        <v>27</v>
      </c>
    </row>
    <row r="11" spans="1:15" x14ac:dyDescent="0.3">
      <c r="A11">
        <v>10</v>
      </c>
      <c r="B11">
        <v>10417</v>
      </c>
      <c r="C11">
        <v>41</v>
      </c>
      <c r="D11">
        <f t="shared" si="0"/>
        <v>13</v>
      </c>
      <c r="E11">
        <v>0</v>
      </c>
      <c r="F11" t="b">
        <v>0</v>
      </c>
      <c r="I11">
        <v>0</v>
      </c>
      <c r="J11">
        <v>1</v>
      </c>
      <c r="K11" s="2" t="s">
        <v>14</v>
      </c>
      <c r="L11" s="3" t="s">
        <v>27</v>
      </c>
      <c r="M11" t="s">
        <v>31</v>
      </c>
      <c r="N11">
        <f>16*3</f>
        <v>48</v>
      </c>
      <c r="O11">
        <v>45</v>
      </c>
    </row>
    <row r="12" spans="1:15" x14ac:dyDescent="0.3">
      <c r="A12">
        <v>11</v>
      </c>
      <c r="B12" t="s">
        <v>21</v>
      </c>
      <c r="C12">
        <v>57</v>
      </c>
      <c r="D12">
        <f t="shared" si="0"/>
        <v>19</v>
      </c>
      <c r="E12">
        <v>0</v>
      </c>
      <c r="F12" t="b">
        <v>0</v>
      </c>
      <c r="I12">
        <v>0</v>
      </c>
      <c r="J12">
        <v>0</v>
      </c>
      <c r="K12" s="2" t="s">
        <v>13</v>
      </c>
      <c r="L12" s="3" t="s">
        <v>27</v>
      </c>
      <c r="M12" t="s">
        <v>31</v>
      </c>
      <c r="N12">
        <f>21*3</f>
        <v>63</v>
      </c>
      <c r="O12">
        <v>57</v>
      </c>
    </row>
    <row r="13" spans="1:15" x14ac:dyDescent="0.3">
      <c r="A13">
        <v>12</v>
      </c>
      <c r="B13">
        <v>18317</v>
      </c>
      <c r="C13">
        <v>69</v>
      </c>
      <c r="D13">
        <f t="shared" si="0"/>
        <v>23</v>
      </c>
      <c r="E13">
        <v>0</v>
      </c>
      <c r="F13" t="b">
        <v>0</v>
      </c>
      <c r="I13">
        <v>2</v>
      </c>
      <c r="J13">
        <v>1</v>
      </c>
      <c r="K13" s="2" t="s">
        <v>13</v>
      </c>
      <c r="L13" s="3" t="s">
        <v>27</v>
      </c>
      <c r="M13" s="4" t="s">
        <v>31</v>
      </c>
      <c r="N13">
        <f>25*3</f>
        <v>75</v>
      </c>
      <c r="O13">
        <v>72</v>
      </c>
    </row>
    <row r="14" spans="1:15" x14ac:dyDescent="0.3">
      <c r="A14">
        <v>13</v>
      </c>
      <c r="B14">
        <v>87315</v>
      </c>
      <c r="C14">
        <v>44</v>
      </c>
      <c r="D14">
        <f t="shared" si="0"/>
        <v>14</v>
      </c>
      <c r="E14">
        <v>0</v>
      </c>
      <c r="F14" t="b">
        <v>0</v>
      </c>
      <c r="I14">
        <v>1</v>
      </c>
      <c r="J14">
        <v>1</v>
      </c>
      <c r="K14" s="2" t="s">
        <v>14</v>
      </c>
      <c r="L14" t="s">
        <v>27</v>
      </c>
      <c r="M14" t="s">
        <v>31</v>
      </c>
      <c r="N14">
        <f>16*3</f>
        <v>48</v>
      </c>
      <c r="O14" s="3">
        <v>45</v>
      </c>
    </row>
    <row r="15" spans="1:15" x14ac:dyDescent="0.3">
      <c r="A15">
        <v>14</v>
      </c>
      <c r="B15">
        <v>18310</v>
      </c>
      <c r="C15">
        <v>77</v>
      </c>
      <c r="D15">
        <f t="shared" si="0"/>
        <v>25</v>
      </c>
      <c r="E15">
        <v>1</v>
      </c>
      <c r="F15" t="b">
        <v>0</v>
      </c>
      <c r="I15">
        <v>1</v>
      </c>
      <c r="J15">
        <v>1</v>
      </c>
      <c r="K15" s="2" t="s">
        <v>16</v>
      </c>
      <c r="L15" t="s">
        <v>25</v>
      </c>
      <c r="M15" s="4"/>
      <c r="O15" s="5">
        <v>81</v>
      </c>
    </row>
    <row r="16" spans="1:15" hidden="1" x14ac:dyDescent="0.3">
      <c r="A16">
        <v>15</v>
      </c>
      <c r="B16" t="s">
        <v>22</v>
      </c>
      <c r="C16">
        <v>78</v>
      </c>
      <c r="D16">
        <f t="shared" si="0"/>
        <v>26</v>
      </c>
      <c r="E16">
        <v>0</v>
      </c>
      <c r="F16" t="b">
        <v>0</v>
      </c>
      <c r="I16">
        <v>1</v>
      </c>
      <c r="J16">
        <v>2</v>
      </c>
      <c r="K16" s="2" t="s">
        <v>17</v>
      </c>
      <c r="L16" t="s">
        <v>25</v>
      </c>
    </row>
    <row r="17" spans="1:15" x14ac:dyDescent="0.3">
      <c r="A17">
        <v>16</v>
      </c>
      <c r="B17">
        <v>87416</v>
      </c>
      <c r="C17">
        <v>78</v>
      </c>
      <c r="D17">
        <f t="shared" si="0"/>
        <v>26</v>
      </c>
      <c r="E17">
        <v>0</v>
      </c>
      <c r="F17" t="b">
        <v>0</v>
      </c>
      <c r="I17">
        <v>1</v>
      </c>
      <c r="J17">
        <v>1</v>
      </c>
      <c r="K17" s="2" t="s">
        <v>15</v>
      </c>
      <c r="L17" t="s">
        <v>25</v>
      </c>
      <c r="M17" s="4"/>
      <c r="O17" s="5">
        <v>81</v>
      </c>
    </row>
    <row r="18" spans="1:15" x14ac:dyDescent="0.3">
      <c r="A18">
        <v>17</v>
      </c>
      <c r="B18">
        <v>87024</v>
      </c>
      <c r="C18">
        <v>78</v>
      </c>
      <c r="D18">
        <f t="shared" si="0"/>
        <v>26</v>
      </c>
      <c r="E18">
        <v>0</v>
      </c>
      <c r="F18" t="b">
        <v>0</v>
      </c>
      <c r="I18">
        <v>1</v>
      </c>
      <c r="J18">
        <v>1</v>
      </c>
      <c r="K18" s="2" t="s">
        <v>15</v>
      </c>
      <c r="L18" t="s">
        <v>25</v>
      </c>
      <c r="M18" s="4"/>
      <c r="O18" s="5">
        <v>81</v>
      </c>
    </row>
    <row r="19" spans="1:15" x14ac:dyDescent="0.3">
      <c r="A19">
        <v>18</v>
      </c>
      <c r="B19">
        <v>15306</v>
      </c>
      <c r="C19">
        <v>75</v>
      </c>
      <c r="D19">
        <f t="shared" si="0"/>
        <v>25</v>
      </c>
      <c r="E19">
        <v>0</v>
      </c>
      <c r="F19" t="b">
        <v>0</v>
      </c>
      <c r="I19">
        <v>1</v>
      </c>
      <c r="J19">
        <v>1</v>
      </c>
      <c r="K19" s="2" t="s">
        <v>16</v>
      </c>
      <c r="L19" t="s">
        <v>25</v>
      </c>
      <c r="M19" s="4"/>
      <c r="O19" s="5">
        <v>81</v>
      </c>
    </row>
    <row r="20" spans="1:15" x14ac:dyDescent="0.3">
      <c r="A20">
        <v>19</v>
      </c>
      <c r="B20">
        <v>81433</v>
      </c>
      <c r="C20">
        <v>76</v>
      </c>
      <c r="D20">
        <f t="shared" si="0"/>
        <v>25</v>
      </c>
      <c r="E20">
        <v>0</v>
      </c>
      <c r="F20" t="b">
        <v>0</v>
      </c>
      <c r="I20">
        <v>1</v>
      </c>
      <c r="J20">
        <v>1</v>
      </c>
      <c r="K20" s="2" t="s">
        <v>15</v>
      </c>
      <c r="L20" t="s">
        <v>25</v>
      </c>
      <c r="M20" s="4"/>
      <c r="O20" s="5">
        <v>81</v>
      </c>
    </row>
    <row r="21" spans="1:15" hidden="1" x14ac:dyDescent="0.3">
      <c r="A21">
        <v>20</v>
      </c>
      <c r="B21">
        <v>60301</v>
      </c>
      <c r="C21">
        <v>86</v>
      </c>
      <c r="D21">
        <f t="shared" si="0"/>
        <v>28</v>
      </c>
      <c r="E21">
        <v>0</v>
      </c>
      <c r="F21" t="b">
        <v>0</v>
      </c>
      <c r="I21">
        <v>0</v>
      </c>
      <c r="J21">
        <v>2</v>
      </c>
      <c r="K21" s="2" t="s">
        <v>14</v>
      </c>
      <c r="O21">
        <v>78</v>
      </c>
    </row>
    <row r="22" spans="1:15" x14ac:dyDescent="0.3">
      <c r="A22">
        <v>21</v>
      </c>
      <c r="B22" t="s">
        <v>18</v>
      </c>
      <c r="C22">
        <v>78</v>
      </c>
      <c r="D22">
        <f t="shared" si="0"/>
        <v>26</v>
      </c>
      <c r="E22">
        <v>0</v>
      </c>
      <c r="F22" t="b">
        <v>0</v>
      </c>
      <c r="I22">
        <v>1</v>
      </c>
      <c r="J22">
        <v>1</v>
      </c>
      <c r="K22" s="2" t="s">
        <v>14</v>
      </c>
      <c r="L22" t="s">
        <v>25</v>
      </c>
      <c r="M22" s="4"/>
      <c r="O22" s="5">
        <v>81</v>
      </c>
    </row>
    <row r="23" spans="1:15" x14ac:dyDescent="0.3">
      <c r="A23">
        <v>22</v>
      </c>
      <c r="B23">
        <v>87027</v>
      </c>
      <c r="C23">
        <v>67</v>
      </c>
      <c r="D23">
        <f t="shared" si="0"/>
        <v>22</v>
      </c>
      <c r="E23">
        <v>0</v>
      </c>
      <c r="F23" t="b">
        <v>0</v>
      </c>
      <c r="I23">
        <v>0</v>
      </c>
      <c r="J23">
        <v>1</v>
      </c>
      <c r="K23" s="2" t="s">
        <v>14</v>
      </c>
      <c r="M23" s="4"/>
      <c r="O23" s="4">
        <v>12</v>
      </c>
    </row>
    <row r="24" spans="1:15" hidden="1" x14ac:dyDescent="0.3">
      <c r="A24">
        <v>23</v>
      </c>
      <c r="B24">
        <v>10419</v>
      </c>
      <c r="C24">
        <v>101</v>
      </c>
      <c r="D24">
        <f t="shared" si="0"/>
        <v>33</v>
      </c>
      <c r="E24">
        <v>1</v>
      </c>
      <c r="F24" t="b">
        <v>0</v>
      </c>
      <c r="I24">
        <v>0</v>
      </c>
      <c r="J24">
        <v>2</v>
      </c>
      <c r="K24" s="2" t="s">
        <v>13</v>
      </c>
    </row>
    <row r="25" spans="1:15" hidden="1" x14ac:dyDescent="0.3">
      <c r="A25">
        <v>24</v>
      </c>
      <c r="B25">
        <v>10005</v>
      </c>
      <c r="C25">
        <v>137</v>
      </c>
      <c r="D25">
        <f t="shared" si="0"/>
        <v>45</v>
      </c>
      <c r="E25">
        <v>1</v>
      </c>
      <c r="F25" t="b">
        <v>0</v>
      </c>
      <c r="I25">
        <v>0</v>
      </c>
      <c r="J25">
        <v>2</v>
      </c>
      <c r="K25" s="2" t="s">
        <v>15</v>
      </c>
    </row>
    <row r="26" spans="1:15" hidden="1" x14ac:dyDescent="0.3">
      <c r="A26">
        <v>25</v>
      </c>
      <c r="B26">
        <v>87316</v>
      </c>
      <c r="C26">
        <v>97</v>
      </c>
      <c r="D26">
        <f t="shared" si="0"/>
        <v>32</v>
      </c>
      <c r="E26">
        <v>0</v>
      </c>
      <c r="F26" t="b">
        <v>0</v>
      </c>
      <c r="I26">
        <v>0</v>
      </c>
      <c r="J26">
        <v>2</v>
      </c>
      <c r="K26" s="2" t="s">
        <v>16</v>
      </c>
    </row>
    <row r="27" spans="1:15" x14ac:dyDescent="0.3">
      <c r="A27">
        <v>26</v>
      </c>
      <c r="B27">
        <v>87021</v>
      </c>
      <c r="C27">
        <v>82</v>
      </c>
      <c r="D27">
        <f t="shared" si="0"/>
        <v>27</v>
      </c>
      <c r="E27">
        <v>0</v>
      </c>
      <c r="F27" t="b">
        <v>0</v>
      </c>
      <c r="I27">
        <v>2</v>
      </c>
      <c r="J27">
        <v>1</v>
      </c>
      <c r="K27" s="2" t="s">
        <v>15</v>
      </c>
      <c r="L27" s="3"/>
      <c r="M27" s="4"/>
      <c r="N27">
        <v>90</v>
      </c>
      <c r="O27">
        <v>90</v>
      </c>
    </row>
    <row r="28" spans="1:15" x14ac:dyDescent="0.3">
      <c r="A28">
        <v>27</v>
      </c>
      <c r="B28">
        <v>87026</v>
      </c>
      <c r="C28">
        <v>124</v>
      </c>
      <c r="D28">
        <f t="shared" si="0"/>
        <v>41</v>
      </c>
      <c r="E28">
        <v>0</v>
      </c>
      <c r="F28" t="b">
        <v>1</v>
      </c>
      <c r="G28">
        <v>30</v>
      </c>
      <c r="H28">
        <f t="shared" ref="H28:H33" si="1">INT(G28/3)+2</f>
        <v>12</v>
      </c>
      <c r="I28">
        <v>1</v>
      </c>
      <c r="J28">
        <v>1</v>
      </c>
      <c r="K28" s="2" t="s">
        <v>15</v>
      </c>
      <c r="O28">
        <v>243</v>
      </c>
    </row>
    <row r="29" spans="1:15" hidden="1" x14ac:dyDescent="0.3">
      <c r="A29">
        <v>28</v>
      </c>
      <c r="B29">
        <v>3211</v>
      </c>
      <c r="C29">
        <v>182</v>
      </c>
      <c r="D29">
        <f t="shared" si="0"/>
        <v>60</v>
      </c>
      <c r="E29">
        <v>0</v>
      </c>
      <c r="F29" t="b">
        <v>1</v>
      </c>
      <c r="G29">
        <v>23</v>
      </c>
      <c r="H29">
        <f t="shared" si="1"/>
        <v>9</v>
      </c>
      <c r="I29">
        <v>3</v>
      </c>
      <c r="J29">
        <v>2</v>
      </c>
      <c r="K29" s="2" t="s">
        <v>16</v>
      </c>
    </row>
    <row r="30" spans="1:15" hidden="1" x14ac:dyDescent="0.3">
      <c r="A30">
        <v>29</v>
      </c>
      <c r="B30">
        <v>60411</v>
      </c>
      <c r="C30">
        <v>214</v>
      </c>
      <c r="D30">
        <f t="shared" si="0"/>
        <v>71</v>
      </c>
      <c r="E30">
        <v>0</v>
      </c>
      <c r="F30" t="b">
        <v>1</v>
      </c>
      <c r="G30">
        <v>73</v>
      </c>
      <c r="H30">
        <f t="shared" si="1"/>
        <v>26</v>
      </c>
      <c r="I30">
        <v>1</v>
      </c>
      <c r="J30">
        <v>2</v>
      </c>
      <c r="K30" s="2" t="s">
        <v>17</v>
      </c>
    </row>
    <row r="31" spans="1:15" hidden="1" x14ac:dyDescent="0.3">
      <c r="A31">
        <v>30</v>
      </c>
      <c r="B31">
        <v>11022</v>
      </c>
      <c r="C31">
        <v>253</v>
      </c>
      <c r="D31">
        <f t="shared" si="0"/>
        <v>84</v>
      </c>
      <c r="E31">
        <v>1</v>
      </c>
      <c r="F31" t="b">
        <v>1</v>
      </c>
      <c r="G31">
        <v>59</v>
      </c>
      <c r="H31">
        <f t="shared" si="1"/>
        <v>21</v>
      </c>
      <c r="I31">
        <v>2</v>
      </c>
      <c r="J31">
        <v>2</v>
      </c>
      <c r="K31" s="2" t="s">
        <v>16</v>
      </c>
    </row>
    <row r="32" spans="1:15" hidden="1" x14ac:dyDescent="0.3">
      <c r="A32">
        <v>31</v>
      </c>
      <c r="B32">
        <v>18308</v>
      </c>
      <c r="C32">
        <v>244</v>
      </c>
      <c r="D32">
        <f t="shared" si="0"/>
        <v>81</v>
      </c>
      <c r="E32">
        <v>1</v>
      </c>
      <c r="F32" t="b">
        <v>0</v>
      </c>
      <c r="H32">
        <f t="shared" si="1"/>
        <v>2</v>
      </c>
      <c r="I32">
        <v>0</v>
      </c>
      <c r="J32">
        <v>2</v>
      </c>
      <c r="K32" s="2" t="s">
        <v>16</v>
      </c>
    </row>
    <row r="33" spans="1:15" hidden="1" x14ac:dyDescent="0.3">
      <c r="A33">
        <v>32</v>
      </c>
      <c r="B33">
        <v>18422</v>
      </c>
      <c r="C33">
        <v>285</v>
      </c>
      <c r="D33">
        <f t="shared" si="0"/>
        <v>95</v>
      </c>
      <c r="E33">
        <v>1</v>
      </c>
      <c r="F33" t="b">
        <v>1</v>
      </c>
      <c r="G33">
        <v>49</v>
      </c>
      <c r="H33">
        <f t="shared" si="1"/>
        <v>18</v>
      </c>
      <c r="I33">
        <v>1</v>
      </c>
      <c r="J33">
        <v>2</v>
      </c>
      <c r="K33" s="1" t="s">
        <v>15</v>
      </c>
    </row>
    <row r="35" spans="1:15" x14ac:dyDescent="0.3">
      <c r="C35">
        <f>SUBTOTAL(9,C2:C34)</f>
        <v>962</v>
      </c>
      <c r="D35">
        <f>SUBTOTAL(9,D2:D34)</f>
        <v>317</v>
      </c>
      <c r="O35">
        <f>SUBTOTAL(9,O5:O34)</f>
        <v>1086</v>
      </c>
    </row>
    <row r="37" spans="1:15" x14ac:dyDescent="0.3">
      <c r="D37">
        <f>13*27</f>
        <v>351</v>
      </c>
      <c r="E37">
        <f>24*27</f>
        <v>648</v>
      </c>
    </row>
    <row r="39" spans="1:15" x14ac:dyDescent="0.3">
      <c r="D39">
        <f>D35-D37</f>
        <v>-34</v>
      </c>
      <c r="E39">
        <f>D35-E37</f>
        <v>-331</v>
      </c>
    </row>
  </sheetData>
  <autoFilter ref="A1:N33" xr:uid="{67C5CE16-1F1B-483F-A08C-2277275ACBF3}">
    <filterColumn colId="9">
      <filters>
        <filter val="0"/>
        <filter val="1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</vt:lpstr>
      <vt:lpstr>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Савилов</dc:creator>
  <cp:lastModifiedBy>Олег Савилов</cp:lastModifiedBy>
  <dcterms:created xsi:type="dcterms:W3CDTF">2026-02-01T07:33:28Z</dcterms:created>
  <dcterms:modified xsi:type="dcterms:W3CDTF">2026-02-05T19:45:06Z</dcterms:modified>
</cp:coreProperties>
</file>