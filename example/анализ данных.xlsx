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aps_qp\example\"/>
    </mc:Choice>
  </mc:AlternateContent>
  <xr:revisionPtr revIDLastSave="0" documentId="13_ncr:1_{141099C6-C5FF-4F24-B9BC-3874F28BA3C1}" xr6:coauthVersionLast="47" xr6:coauthVersionMax="47" xr10:uidLastSave="{00000000-0000-0000-0000-000000000000}"/>
  <bookViews>
    <workbookView xWindow="13032" yWindow="768" windowWidth="18012" windowHeight="12120" activeTab="3" xr2:uid="{773D4DF3-950D-4B5E-8C9A-B3658F9BE42F}"/>
  </bookViews>
  <sheets>
    <sheet name="m" sheetId="1" r:id="rId1"/>
    <sheet name="p" sheetId="2" r:id="rId2"/>
    <sheet name="m (2)" sheetId="3" r:id="rId3"/>
    <sheet name="p (2)" sheetId="4" r:id="rId4"/>
  </sheets>
  <definedNames>
    <definedName name="_xlnm._FilterDatabase" localSheetId="0" hidden="1">m!$A$1:$C$38</definedName>
    <definedName name="_xlnm._FilterDatabase" localSheetId="2" hidden="1">'m (2)'!$A$1:$C$38</definedName>
    <definedName name="_xlnm._FilterDatabase" localSheetId="1" hidden="1">p!$A$1:$O$33</definedName>
    <definedName name="_xlnm._FilterDatabase" localSheetId="3" hidden="1">'p (2)'!$A$1:$O$34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4" l="1"/>
  <c r="F38" i="4"/>
  <c r="E38" i="4"/>
  <c r="P36" i="4"/>
  <c r="D36" i="4"/>
  <c r="I34" i="4"/>
  <c r="E34" i="4"/>
  <c r="I33" i="4"/>
  <c r="E33" i="4"/>
  <c r="I32" i="4"/>
  <c r="E32" i="4"/>
  <c r="I31" i="4"/>
  <c r="E31" i="4"/>
  <c r="I30" i="4"/>
  <c r="E30" i="4"/>
  <c r="I29" i="4"/>
  <c r="E29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O14" i="4"/>
  <c r="E14" i="4"/>
  <c r="O13" i="4"/>
  <c r="E13" i="4"/>
  <c r="O12" i="4"/>
  <c r="E12" i="4"/>
  <c r="O11" i="4"/>
  <c r="E11" i="4"/>
  <c r="E10" i="4"/>
  <c r="E9" i="4"/>
  <c r="E8" i="4"/>
  <c r="E7" i="4"/>
  <c r="E6" i="4"/>
  <c r="E5" i="4"/>
  <c r="E4" i="4"/>
  <c r="E3" i="4"/>
  <c r="E2" i="4"/>
  <c r="P35" i="2"/>
  <c r="O14" i="2"/>
  <c r="O12" i="2"/>
  <c r="O11" i="2"/>
  <c r="O13" i="2"/>
  <c r="F37" i="2"/>
  <c r="E37" i="2"/>
  <c r="D35" i="2"/>
  <c r="I29" i="2"/>
  <c r="I30" i="2"/>
  <c r="I31" i="2"/>
  <c r="I32" i="2"/>
  <c r="I33" i="2"/>
  <c r="I2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E36" i="4" l="1"/>
  <c r="F40" i="4" s="1"/>
  <c r="E35" i="2"/>
  <c r="E40" i="4" l="1"/>
  <c r="E39" i="2"/>
  <c r="F39" i="2"/>
</calcChain>
</file>

<file path=xl/sharedStrings.xml><?xml version="1.0" encoding="utf-8"?>
<sst xmlns="http://schemas.openxmlformats.org/spreadsheetml/2006/main" count="164" uniqueCount="34">
  <si>
    <t>m_id</t>
  </si>
  <si>
    <t>p_id</t>
  </si>
  <si>
    <t>machine</t>
  </si>
  <si>
    <t>name</t>
  </si>
  <si>
    <t>qty</t>
  </si>
  <si>
    <t>t</t>
  </si>
  <si>
    <t>q_minus</t>
  </si>
  <si>
    <t>q_minus_m</t>
  </si>
  <si>
    <t>m_count</t>
  </si>
  <si>
    <t>div</t>
  </si>
  <si>
    <t>78425p17</t>
  </si>
  <si>
    <t>78425p11</t>
  </si>
  <si>
    <t>strategy</t>
  </si>
  <si>
    <t>--</t>
  </si>
  <si>
    <t>++</t>
  </si>
  <si>
    <t>+</t>
  </si>
  <si>
    <t>=</t>
  </si>
  <si>
    <t>-</t>
  </si>
  <si>
    <t>PV73-045</t>
  </si>
  <si>
    <t>qty_d</t>
  </si>
  <si>
    <t>q_minus_m_d</t>
  </si>
  <si>
    <t>60410t2</t>
  </si>
  <si>
    <t>60410t3</t>
  </si>
  <si>
    <t>H1</t>
  </si>
  <si>
    <t>H2</t>
  </si>
  <si>
    <t>H3</t>
  </si>
  <si>
    <t>PRE</t>
  </si>
  <si>
    <t>QM_B</t>
  </si>
  <si>
    <t>cap</t>
  </si>
  <si>
    <t>fact</t>
  </si>
  <si>
    <t>min</t>
  </si>
  <si>
    <t>True</t>
  </si>
  <si>
    <t>true</t>
  </si>
  <si>
    <t>pv73-045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</si>
</sst>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ont="1" applyFill="1"/>
    <xf numFmtId="49" fontId="0" fillId="4" borderId="0" xfId="0" applyNumberFormat="1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2064-52F6-45F0-A5D9-03E5A32A1B19}">
  <sheetPr filterMode="1"/>
  <dimension ref="A1:C38"/>
  <sheetViews>
    <sheetView workbookViewId="0">
      <selection activeCell="A39" sqref="A39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hidden="1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hidden="1" x14ac:dyDescent="0.3">
      <c r="A4">
        <v>2</v>
      </c>
      <c r="B4">
        <v>115</v>
      </c>
      <c r="C4">
        <v>30</v>
      </c>
    </row>
    <row r="5" spans="1:3" hidden="1" x14ac:dyDescent="0.3">
      <c r="A5">
        <v>3</v>
      </c>
      <c r="B5">
        <v>116</v>
      </c>
      <c r="C5">
        <v>15</v>
      </c>
    </row>
    <row r="6" spans="1:3" hidden="1" x14ac:dyDescent="0.3">
      <c r="A6">
        <v>4</v>
      </c>
      <c r="B6">
        <v>119</v>
      </c>
      <c r="C6">
        <v>6</v>
      </c>
    </row>
    <row r="7" spans="1:3" hidden="1" x14ac:dyDescent="0.3">
      <c r="A7">
        <v>5</v>
      </c>
      <c r="B7">
        <v>121</v>
      </c>
      <c r="C7">
        <v>28</v>
      </c>
    </row>
    <row r="8" spans="1:3" hidden="1" x14ac:dyDescent="0.3">
      <c r="A8">
        <v>6</v>
      </c>
      <c r="B8">
        <v>122</v>
      </c>
      <c r="C8">
        <v>7</v>
      </c>
    </row>
    <row r="9" spans="1:3" hidden="1" x14ac:dyDescent="0.3">
      <c r="A9">
        <v>7</v>
      </c>
      <c r="B9">
        <v>123</v>
      </c>
      <c r="C9">
        <v>1</v>
      </c>
    </row>
    <row r="10" spans="1:3" hidden="1" x14ac:dyDescent="0.3">
      <c r="A10">
        <v>8</v>
      </c>
      <c r="B10">
        <v>124</v>
      </c>
      <c r="C10">
        <v>1</v>
      </c>
    </row>
    <row r="11" spans="1:3" hidden="1" x14ac:dyDescent="0.3">
      <c r="A11">
        <v>9</v>
      </c>
      <c r="B11">
        <v>125</v>
      </c>
      <c r="C11">
        <v>2</v>
      </c>
    </row>
    <row r="12" spans="1:3" hidden="1" x14ac:dyDescent="0.3">
      <c r="A12">
        <v>10</v>
      </c>
      <c r="B12">
        <v>126</v>
      </c>
      <c r="C12">
        <v>2</v>
      </c>
    </row>
    <row r="13" spans="1:3" hidden="1" x14ac:dyDescent="0.3">
      <c r="A13">
        <v>11</v>
      </c>
      <c r="B13">
        <v>127</v>
      </c>
      <c r="C13">
        <v>9</v>
      </c>
    </row>
    <row r="14" spans="1:3" hidden="1" x14ac:dyDescent="0.3">
      <c r="A14">
        <v>12</v>
      </c>
      <c r="B14">
        <v>128</v>
      </c>
      <c r="C14">
        <v>9</v>
      </c>
    </row>
    <row r="15" spans="1:3" hidden="1" x14ac:dyDescent="0.3">
      <c r="A15">
        <v>13</v>
      </c>
      <c r="B15">
        <v>13</v>
      </c>
      <c r="C15">
        <v>17</v>
      </c>
    </row>
    <row r="16" spans="1:3" hidden="1" x14ac:dyDescent="0.3">
      <c r="A16">
        <v>14</v>
      </c>
      <c r="B16">
        <v>133</v>
      </c>
      <c r="C16">
        <v>28</v>
      </c>
    </row>
    <row r="17" spans="1:3" hidden="1" x14ac:dyDescent="0.3">
      <c r="A17">
        <v>15</v>
      </c>
      <c r="B17">
        <v>134</v>
      </c>
      <c r="C17">
        <v>8</v>
      </c>
    </row>
    <row r="18" spans="1:3" hidden="1" x14ac:dyDescent="0.3">
      <c r="A18">
        <v>16</v>
      </c>
      <c r="B18">
        <v>135</v>
      </c>
      <c r="C18">
        <v>8</v>
      </c>
    </row>
    <row r="19" spans="1:3" hidden="1" x14ac:dyDescent="0.3">
      <c r="A19">
        <v>17</v>
      </c>
      <c r="B19">
        <v>137</v>
      </c>
      <c r="C19">
        <v>29</v>
      </c>
    </row>
    <row r="20" spans="1:3" hidden="1" x14ac:dyDescent="0.3">
      <c r="A20">
        <v>18</v>
      </c>
      <c r="B20">
        <v>139</v>
      </c>
      <c r="C20">
        <v>3</v>
      </c>
    </row>
    <row r="21" spans="1:3" hidden="1" x14ac:dyDescent="0.3">
      <c r="A21">
        <v>19</v>
      </c>
      <c r="B21">
        <v>140</v>
      </c>
      <c r="C21">
        <v>5</v>
      </c>
    </row>
    <row r="22" spans="1:3" hidden="1" x14ac:dyDescent="0.3">
      <c r="A22">
        <v>20</v>
      </c>
      <c r="B22">
        <v>141</v>
      </c>
      <c r="C22">
        <v>5</v>
      </c>
    </row>
    <row r="23" spans="1:3" hidden="1" x14ac:dyDescent="0.3">
      <c r="A23">
        <v>21</v>
      </c>
      <c r="B23">
        <v>20</v>
      </c>
      <c r="C23">
        <v>12</v>
      </c>
    </row>
    <row r="24" spans="1:3" hidden="1" x14ac:dyDescent="0.3">
      <c r="A24">
        <v>22</v>
      </c>
      <c r="B24">
        <v>29</v>
      </c>
      <c r="C24">
        <v>4</v>
      </c>
    </row>
    <row r="25" spans="1:3" hidden="1" x14ac:dyDescent="0.3">
      <c r="A25">
        <v>23</v>
      </c>
      <c r="B25">
        <v>34</v>
      </c>
      <c r="C25">
        <v>12</v>
      </c>
    </row>
    <row r="26" spans="1:3" hidden="1" x14ac:dyDescent="0.3">
      <c r="A26">
        <v>24</v>
      </c>
      <c r="B26">
        <v>35</v>
      </c>
      <c r="C26">
        <v>21</v>
      </c>
    </row>
    <row r="27" spans="1:3" hidden="1" x14ac:dyDescent="0.3">
      <c r="A27">
        <v>25</v>
      </c>
      <c r="B27">
        <v>53</v>
      </c>
      <c r="C27">
        <v>26</v>
      </c>
    </row>
    <row r="28" spans="1:3" hidden="1" x14ac:dyDescent="0.3">
      <c r="A28">
        <v>26</v>
      </c>
      <c r="B28">
        <v>57</v>
      </c>
      <c r="C28">
        <v>27</v>
      </c>
    </row>
    <row r="29" spans="1:3" hidden="1" x14ac:dyDescent="0.3">
      <c r="A29">
        <v>27</v>
      </c>
      <c r="B29">
        <v>6</v>
      </c>
      <c r="C29">
        <v>13</v>
      </c>
    </row>
    <row r="30" spans="1:3" hidden="1" x14ac:dyDescent="0.3">
      <c r="A30">
        <v>28</v>
      </c>
      <c r="B30">
        <v>61</v>
      </c>
      <c r="C30">
        <v>14</v>
      </c>
    </row>
    <row r="31" spans="1:3" hidden="1" x14ac:dyDescent="0.3">
      <c r="A31">
        <v>29</v>
      </c>
      <c r="B31">
        <v>70</v>
      </c>
      <c r="C31">
        <v>26</v>
      </c>
    </row>
    <row r="32" spans="1:3" hidden="1" x14ac:dyDescent="0.3">
      <c r="A32">
        <v>30</v>
      </c>
      <c r="B32">
        <v>77</v>
      </c>
      <c r="C32">
        <v>19</v>
      </c>
    </row>
    <row r="33" spans="1:3" hidden="1" x14ac:dyDescent="0.3">
      <c r="A33">
        <v>31</v>
      </c>
      <c r="B33">
        <v>85</v>
      </c>
      <c r="C33">
        <v>18</v>
      </c>
    </row>
    <row r="34" spans="1:3" hidden="1" x14ac:dyDescent="0.3">
      <c r="A34">
        <v>32</v>
      </c>
      <c r="B34">
        <v>91</v>
      </c>
      <c r="C34">
        <v>16</v>
      </c>
    </row>
    <row r="35" spans="1:3" hidden="1" x14ac:dyDescent="0.3">
      <c r="A35">
        <v>33</v>
      </c>
      <c r="B35">
        <v>95</v>
      </c>
      <c r="C35">
        <v>28</v>
      </c>
    </row>
    <row r="36" spans="1:3" hidden="1" x14ac:dyDescent="0.3">
      <c r="A36">
        <v>34</v>
      </c>
      <c r="B36">
        <v>96</v>
      </c>
      <c r="C36">
        <v>0</v>
      </c>
    </row>
    <row r="37" spans="1:3" hidden="1" x14ac:dyDescent="0.3">
      <c r="A37">
        <v>35</v>
      </c>
      <c r="B37">
        <v>97</v>
      </c>
      <c r="C37">
        <v>0</v>
      </c>
    </row>
    <row r="38" spans="1:3" hidden="1" x14ac:dyDescent="0.3">
      <c r="A38">
        <v>36</v>
      </c>
      <c r="B38">
        <v>98</v>
      </c>
      <c r="C38">
        <v>0</v>
      </c>
    </row>
  </sheetData>
  <autoFilter ref="A1:C38" xr:uid="{FBC52064-52F6-45F0-A5D9-03E5A32A1B19}">
    <filterColumn colId="2">
      <filters>
        <filter val="3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5CE16-1F1B-483F-A08C-2277275ACBF3}">
  <sheetPr filterMode="1"/>
  <dimension ref="A1:P39"/>
  <sheetViews>
    <sheetView workbookViewId="0">
      <selection activeCell="L24" sqref="L24"/>
    </sheetView>
  </sheetViews>
  <sheetFormatPr defaultRowHeight="14.4" x14ac:dyDescent="0.3"/>
  <cols>
    <col min="5" max="5" width="7.33203125" customWidth="1"/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hidden="1" x14ac:dyDescent="0.3">
      <c r="A2">
        <v>1</v>
      </c>
      <c r="B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hidden="1" x14ac:dyDescent="0.3">
      <c r="A3">
        <v>2</v>
      </c>
      <c r="B3">
        <v>2</v>
      </c>
      <c r="C3">
        <v>10427</v>
      </c>
      <c r="D3">
        <v>0</v>
      </c>
      <c r="E3">
        <f t="shared" ref="E3:E33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hidden="1" x14ac:dyDescent="0.3">
      <c r="A4">
        <v>3</v>
      </c>
      <c r="B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hidden="1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hidden="1" x14ac:dyDescent="0.3">
      <c r="A6">
        <v>5</v>
      </c>
      <c r="B6">
        <v>4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hidden="1" x14ac:dyDescent="0.3">
      <c r="A7">
        <v>6</v>
      </c>
      <c r="B7">
        <v>5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x14ac:dyDescent="0.3">
      <c r="A8">
        <v>7</v>
      </c>
      <c r="B8">
        <v>6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x14ac:dyDescent="0.3">
      <c r="A9">
        <v>8</v>
      </c>
      <c r="B9">
        <v>7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x14ac:dyDescent="0.3">
      <c r="A10">
        <v>9</v>
      </c>
      <c r="B10">
        <v>8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hidden="1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>
        <v>3</v>
      </c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hidden="1" x14ac:dyDescent="0.3">
      <c r="A13">
        <v>12</v>
      </c>
      <c r="B13">
        <v>4</v>
      </c>
      <c r="C13">
        <v>18317</v>
      </c>
      <c r="D13">
        <v>69</v>
      </c>
      <c r="E13">
        <f t="shared" si="0"/>
        <v>23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hidden="1" x14ac:dyDescent="0.3">
      <c r="A14">
        <v>13</v>
      </c>
      <c r="B14">
        <v>5</v>
      </c>
      <c r="C14">
        <v>87315</v>
      </c>
      <c r="D14">
        <v>44</v>
      </c>
      <c r="E14">
        <f t="shared" si="0"/>
        <v>14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hidden="1" x14ac:dyDescent="0.3">
      <c r="A15">
        <v>14</v>
      </c>
      <c r="B15">
        <v>6</v>
      </c>
      <c r="C15">
        <v>18310</v>
      </c>
      <c r="D15">
        <v>77</v>
      </c>
      <c r="E15">
        <f t="shared" si="0"/>
        <v>25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hidden="1" x14ac:dyDescent="0.3">
      <c r="A16">
        <v>15</v>
      </c>
      <c r="B16">
        <v>9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hidden="1" x14ac:dyDescent="0.3">
      <c r="A17">
        <v>16</v>
      </c>
      <c r="B17">
        <v>7</v>
      </c>
      <c r="C17">
        <v>87416</v>
      </c>
      <c r="D17">
        <v>78</v>
      </c>
      <c r="E17">
        <f t="shared" si="0"/>
        <v>26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hidden="1" x14ac:dyDescent="0.3">
      <c r="A18">
        <v>17</v>
      </c>
      <c r="B18">
        <v>8</v>
      </c>
      <c r="C18">
        <v>87024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hidden="1" x14ac:dyDescent="0.3">
      <c r="A19">
        <v>18</v>
      </c>
      <c r="B19">
        <v>9</v>
      </c>
      <c r="C19">
        <v>15306</v>
      </c>
      <c r="D19">
        <v>75</v>
      </c>
      <c r="E19">
        <f t="shared" si="0"/>
        <v>25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hidden="1" x14ac:dyDescent="0.3">
      <c r="A20">
        <v>19</v>
      </c>
      <c r="B20">
        <v>10</v>
      </c>
      <c r="C20">
        <v>81433</v>
      </c>
      <c r="D20">
        <v>76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x14ac:dyDescent="0.3">
      <c r="A21">
        <v>20</v>
      </c>
      <c r="B21">
        <v>10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hidden="1" x14ac:dyDescent="0.3">
      <c r="A22">
        <v>21</v>
      </c>
      <c r="B22">
        <v>11</v>
      </c>
      <c r="C22" t="s">
        <v>18</v>
      </c>
      <c r="D22">
        <v>78</v>
      </c>
      <c r="E22">
        <f t="shared" si="0"/>
        <v>26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hidden="1" x14ac:dyDescent="0.3">
      <c r="A23">
        <v>22</v>
      </c>
      <c r="B23">
        <v>12</v>
      </c>
      <c r="C23">
        <v>87027</v>
      </c>
      <c r="D23">
        <v>67</v>
      </c>
      <c r="E23">
        <f t="shared" si="0"/>
        <v>22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x14ac:dyDescent="0.3">
      <c r="A24">
        <v>23</v>
      </c>
      <c r="B24">
        <v>11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x14ac:dyDescent="0.3">
      <c r="A25">
        <v>24</v>
      </c>
      <c r="B25">
        <v>12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x14ac:dyDescent="0.3">
      <c r="A26">
        <v>25</v>
      </c>
      <c r="B26">
        <v>13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hidden="1" x14ac:dyDescent="0.3">
      <c r="A27">
        <v>26</v>
      </c>
      <c r="B27">
        <v>13</v>
      </c>
      <c r="C27">
        <v>87021</v>
      </c>
      <c r="D27">
        <v>82</v>
      </c>
      <c r="E27">
        <f t="shared" si="0"/>
        <v>27</v>
      </c>
      <c r="F27">
        <v>0</v>
      </c>
      <c r="G27" t="b">
        <v>0</v>
      </c>
      <c r="J27">
        <v>2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hidden="1" x14ac:dyDescent="0.3">
      <c r="A28">
        <v>27</v>
      </c>
      <c r="B28">
        <v>14</v>
      </c>
      <c r="C28">
        <v>87026</v>
      </c>
      <c r="D28">
        <v>124</v>
      </c>
      <c r="E28">
        <f t="shared" si="0"/>
        <v>41</v>
      </c>
      <c r="F28">
        <v>0</v>
      </c>
      <c r="G28" t="b">
        <v>1</v>
      </c>
      <c r="H28">
        <v>30</v>
      </c>
      <c r="I28">
        <f t="shared" ref="I28:I33" si="1">INT(H28/3)+2</f>
        <v>12</v>
      </c>
      <c r="J28">
        <v>1</v>
      </c>
      <c r="K28">
        <v>1</v>
      </c>
      <c r="L28" s="2" t="s">
        <v>15</v>
      </c>
      <c r="P28">
        <v>243</v>
      </c>
    </row>
    <row r="29" spans="1:16" x14ac:dyDescent="0.3">
      <c r="A29">
        <v>28</v>
      </c>
      <c r="B29">
        <v>14</v>
      </c>
      <c r="C29">
        <v>3211</v>
      </c>
      <c r="D29">
        <v>182</v>
      </c>
      <c r="E29">
        <f t="shared" si="0"/>
        <v>60</v>
      </c>
      <c r="F29">
        <v>0</v>
      </c>
      <c r="G29" t="b">
        <v>1</v>
      </c>
      <c r="H29">
        <v>23</v>
      </c>
      <c r="I29">
        <f t="shared" si="1"/>
        <v>9</v>
      </c>
      <c r="J29">
        <v>3</v>
      </c>
      <c r="K29">
        <v>2</v>
      </c>
      <c r="L29" s="2" t="s">
        <v>16</v>
      </c>
    </row>
    <row r="30" spans="1:16" x14ac:dyDescent="0.3">
      <c r="A30">
        <v>29</v>
      </c>
      <c r="B30">
        <v>15</v>
      </c>
      <c r="C30">
        <v>60411</v>
      </c>
      <c r="D30">
        <v>214</v>
      </c>
      <c r="E30">
        <f t="shared" si="0"/>
        <v>71</v>
      </c>
      <c r="F30">
        <v>0</v>
      </c>
      <c r="G30" t="b">
        <v>1</v>
      </c>
      <c r="H30">
        <v>73</v>
      </c>
      <c r="I30">
        <f t="shared" si="1"/>
        <v>26</v>
      </c>
      <c r="J30">
        <v>1</v>
      </c>
      <c r="K30">
        <v>2</v>
      </c>
      <c r="L30" s="2" t="s">
        <v>17</v>
      </c>
    </row>
    <row r="31" spans="1:16" x14ac:dyDescent="0.3">
      <c r="A31">
        <v>30</v>
      </c>
      <c r="B31">
        <v>16</v>
      </c>
      <c r="C31">
        <v>11022</v>
      </c>
      <c r="D31">
        <v>253</v>
      </c>
      <c r="E31">
        <f t="shared" si="0"/>
        <v>84</v>
      </c>
      <c r="F31">
        <v>1</v>
      </c>
      <c r="G31" t="b">
        <v>1</v>
      </c>
      <c r="H31">
        <v>59</v>
      </c>
      <c r="I31">
        <f t="shared" si="1"/>
        <v>21</v>
      </c>
      <c r="J31">
        <v>2</v>
      </c>
      <c r="K31">
        <v>2</v>
      </c>
      <c r="L31" s="2" t="s">
        <v>16</v>
      </c>
    </row>
    <row r="32" spans="1:16" x14ac:dyDescent="0.3">
      <c r="A32">
        <v>31</v>
      </c>
      <c r="B32">
        <v>17</v>
      </c>
      <c r="C32">
        <v>18308</v>
      </c>
      <c r="D32">
        <v>244</v>
      </c>
      <c r="E32">
        <f t="shared" si="0"/>
        <v>81</v>
      </c>
      <c r="F32">
        <v>1</v>
      </c>
      <c r="G32" t="b">
        <v>0</v>
      </c>
      <c r="I32">
        <f t="shared" si="1"/>
        <v>2</v>
      </c>
      <c r="J32">
        <v>0</v>
      </c>
      <c r="K32">
        <v>2</v>
      </c>
      <c r="L32" s="2" t="s">
        <v>16</v>
      </c>
      <c r="M32" t="s">
        <v>27</v>
      </c>
    </row>
    <row r="33" spans="1:16" x14ac:dyDescent="0.3">
      <c r="A33">
        <v>32</v>
      </c>
      <c r="B33">
        <v>18</v>
      </c>
      <c r="C33">
        <v>18422</v>
      </c>
      <c r="D33">
        <v>285</v>
      </c>
      <c r="E33">
        <f t="shared" si="0"/>
        <v>95</v>
      </c>
      <c r="F33">
        <v>1</v>
      </c>
      <c r="G33" t="b">
        <v>1</v>
      </c>
      <c r="H33">
        <v>49</v>
      </c>
      <c r="I33">
        <f t="shared" si="1"/>
        <v>18</v>
      </c>
      <c r="J33">
        <v>1</v>
      </c>
      <c r="K33">
        <v>2</v>
      </c>
      <c r="L33" s="1" t="s">
        <v>15</v>
      </c>
    </row>
    <row r="35" spans="1:16" x14ac:dyDescent="0.3">
      <c r="D35">
        <f>SUBTOTAL(9,D2:D34)</f>
        <v>1705</v>
      </c>
      <c r="E35">
        <f>SUBTOTAL(9,E2:E34)</f>
        <v>563</v>
      </c>
      <c r="P35">
        <f>SUBTOTAL(9,P5:P34)</f>
        <v>78</v>
      </c>
    </row>
    <row r="37" spans="1:16" x14ac:dyDescent="0.3">
      <c r="E37">
        <f>13*27</f>
        <v>351</v>
      </c>
      <c r="F37">
        <f>24*27</f>
        <v>648</v>
      </c>
    </row>
    <row r="39" spans="1:16" x14ac:dyDescent="0.3">
      <c r="E39">
        <f>E35-E37</f>
        <v>212</v>
      </c>
      <c r="F39">
        <f>E35-F37</f>
        <v>-85</v>
      </c>
    </row>
  </sheetData>
  <autoFilter ref="A1:O33" xr:uid="{67C5CE16-1F1B-483F-A08C-2277275ACBF3}">
    <filterColumn colId="10">
      <filters>
        <filter val="2"/>
      </filters>
    </filterColumn>
    <filterColumn colId="12">
      <filters blank="1">
        <filter val="QM_B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0C664-784E-4EB9-98CE-07A4ABDE982B}">
  <dimension ref="A1:C38"/>
  <sheetViews>
    <sheetView workbookViewId="0">
      <selection activeCell="B15" sqref="B15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x14ac:dyDescent="0.3">
      <c r="A4">
        <v>2</v>
      </c>
      <c r="B4">
        <v>115</v>
      </c>
      <c r="C4">
        <v>30</v>
      </c>
    </row>
    <row r="5" spans="1:3" x14ac:dyDescent="0.3">
      <c r="A5">
        <v>3</v>
      </c>
      <c r="B5">
        <v>116</v>
      </c>
      <c r="C5">
        <v>15</v>
      </c>
    </row>
    <row r="6" spans="1:3" x14ac:dyDescent="0.3">
      <c r="A6">
        <v>4</v>
      </c>
      <c r="B6">
        <v>119</v>
      </c>
      <c r="C6">
        <v>6</v>
      </c>
    </row>
    <row r="7" spans="1:3" x14ac:dyDescent="0.3">
      <c r="A7">
        <v>5</v>
      </c>
      <c r="B7">
        <v>121</v>
      </c>
      <c r="C7">
        <v>28</v>
      </c>
    </row>
    <row r="8" spans="1:3" x14ac:dyDescent="0.3">
      <c r="A8">
        <v>6</v>
      </c>
      <c r="B8">
        <v>122</v>
      </c>
      <c r="C8">
        <v>7</v>
      </c>
    </row>
    <row r="9" spans="1:3" x14ac:dyDescent="0.3">
      <c r="A9">
        <v>7</v>
      </c>
      <c r="B9">
        <v>123</v>
      </c>
      <c r="C9">
        <v>1</v>
      </c>
    </row>
    <row r="10" spans="1:3" x14ac:dyDescent="0.3">
      <c r="A10">
        <v>8</v>
      </c>
      <c r="B10">
        <v>124</v>
      </c>
      <c r="C10">
        <v>1</v>
      </c>
    </row>
    <row r="11" spans="1:3" x14ac:dyDescent="0.3">
      <c r="A11">
        <v>9</v>
      </c>
      <c r="B11">
        <v>125</v>
      </c>
      <c r="C11">
        <v>2</v>
      </c>
    </row>
    <row r="12" spans="1:3" x14ac:dyDescent="0.3">
      <c r="A12">
        <v>10</v>
      </c>
      <c r="B12">
        <v>126</v>
      </c>
      <c r="C12">
        <v>2</v>
      </c>
    </row>
    <row r="13" spans="1:3" x14ac:dyDescent="0.3">
      <c r="A13">
        <v>11</v>
      </c>
      <c r="B13">
        <v>127</v>
      </c>
      <c r="C13">
        <v>9</v>
      </c>
    </row>
    <row r="14" spans="1:3" x14ac:dyDescent="0.3">
      <c r="A14">
        <v>12</v>
      </c>
      <c r="B14">
        <v>128</v>
      </c>
      <c r="C14">
        <v>9</v>
      </c>
    </row>
    <row r="15" spans="1:3" x14ac:dyDescent="0.3">
      <c r="A15">
        <v>13</v>
      </c>
      <c r="B15">
        <v>13</v>
      </c>
      <c r="C15">
        <v>17</v>
      </c>
    </row>
    <row r="16" spans="1:3" x14ac:dyDescent="0.3">
      <c r="A16">
        <v>14</v>
      </c>
      <c r="B16">
        <v>133</v>
      </c>
      <c r="C16">
        <v>28</v>
      </c>
    </row>
    <row r="17" spans="1:3" x14ac:dyDescent="0.3">
      <c r="A17">
        <v>15</v>
      </c>
      <c r="B17">
        <v>134</v>
      </c>
      <c r="C17">
        <v>8</v>
      </c>
    </row>
    <row r="18" spans="1:3" x14ac:dyDescent="0.3">
      <c r="A18">
        <v>16</v>
      </c>
      <c r="B18">
        <v>135</v>
      </c>
      <c r="C18">
        <v>8</v>
      </c>
    </row>
    <row r="19" spans="1:3" x14ac:dyDescent="0.3">
      <c r="A19">
        <v>17</v>
      </c>
      <c r="B19">
        <v>137</v>
      </c>
      <c r="C19">
        <v>29</v>
      </c>
    </row>
    <row r="20" spans="1:3" x14ac:dyDescent="0.3">
      <c r="A20">
        <v>18</v>
      </c>
      <c r="B20">
        <v>139</v>
      </c>
      <c r="C20">
        <v>3</v>
      </c>
    </row>
    <row r="21" spans="1:3" x14ac:dyDescent="0.3">
      <c r="A21">
        <v>19</v>
      </c>
      <c r="B21">
        <v>140</v>
      </c>
      <c r="C21">
        <v>5</v>
      </c>
    </row>
    <row r="22" spans="1:3" x14ac:dyDescent="0.3">
      <c r="A22">
        <v>20</v>
      </c>
      <c r="B22">
        <v>141</v>
      </c>
      <c r="C22">
        <v>5</v>
      </c>
    </row>
    <row r="23" spans="1:3" x14ac:dyDescent="0.3">
      <c r="A23">
        <v>21</v>
      </c>
      <c r="B23">
        <v>20</v>
      </c>
      <c r="C23">
        <v>12</v>
      </c>
    </row>
    <row r="24" spans="1:3" x14ac:dyDescent="0.3">
      <c r="A24">
        <v>22</v>
      </c>
      <c r="B24">
        <v>29</v>
      </c>
      <c r="C24">
        <v>4</v>
      </c>
    </row>
    <row r="25" spans="1:3" x14ac:dyDescent="0.3">
      <c r="A25">
        <v>23</v>
      </c>
      <c r="B25">
        <v>34</v>
      </c>
      <c r="C25">
        <v>12</v>
      </c>
    </row>
    <row r="26" spans="1:3" x14ac:dyDescent="0.3">
      <c r="A26">
        <v>24</v>
      </c>
      <c r="B26">
        <v>35</v>
      </c>
      <c r="C26">
        <v>21</v>
      </c>
    </row>
    <row r="27" spans="1:3" x14ac:dyDescent="0.3">
      <c r="A27">
        <v>25</v>
      </c>
      <c r="B27">
        <v>53</v>
      </c>
      <c r="C27">
        <v>26</v>
      </c>
    </row>
    <row r="28" spans="1:3" x14ac:dyDescent="0.3">
      <c r="A28">
        <v>26</v>
      </c>
      <c r="B28">
        <v>57</v>
      </c>
      <c r="C28">
        <v>27</v>
      </c>
    </row>
    <row r="29" spans="1:3" x14ac:dyDescent="0.3">
      <c r="A29">
        <v>27</v>
      </c>
      <c r="B29">
        <v>6</v>
      </c>
      <c r="C29">
        <v>13</v>
      </c>
    </row>
    <row r="30" spans="1:3" x14ac:dyDescent="0.3">
      <c r="A30">
        <v>28</v>
      </c>
      <c r="B30">
        <v>61</v>
      </c>
      <c r="C30">
        <v>14</v>
      </c>
    </row>
    <row r="31" spans="1:3" x14ac:dyDescent="0.3">
      <c r="A31">
        <v>29</v>
      </c>
      <c r="B31">
        <v>70</v>
      </c>
      <c r="C31">
        <v>26</v>
      </c>
    </row>
    <row r="32" spans="1:3" x14ac:dyDescent="0.3">
      <c r="A32">
        <v>30</v>
      </c>
      <c r="B32">
        <v>77</v>
      </c>
      <c r="C32">
        <v>19</v>
      </c>
    </row>
    <row r="33" spans="1:3" x14ac:dyDescent="0.3">
      <c r="A33">
        <v>31</v>
      </c>
      <c r="B33">
        <v>85</v>
      </c>
      <c r="C33">
        <v>18</v>
      </c>
    </row>
    <row r="34" spans="1:3" x14ac:dyDescent="0.3">
      <c r="A34">
        <v>32</v>
      </c>
      <c r="B34">
        <v>91</v>
      </c>
      <c r="C34">
        <v>16</v>
      </c>
    </row>
    <row r="35" spans="1:3" x14ac:dyDescent="0.3">
      <c r="A35">
        <v>33</v>
      </c>
      <c r="B35">
        <v>95</v>
      </c>
      <c r="C35">
        <v>28</v>
      </c>
    </row>
    <row r="36" spans="1:3" x14ac:dyDescent="0.3">
      <c r="A36">
        <v>34</v>
      </c>
      <c r="B36">
        <v>96</v>
      </c>
      <c r="C36">
        <v>0</v>
      </c>
    </row>
    <row r="37" spans="1:3" x14ac:dyDescent="0.3">
      <c r="A37">
        <v>35</v>
      </c>
      <c r="B37">
        <v>97</v>
      </c>
      <c r="C37">
        <v>0</v>
      </c>
    </row>
    <row r="38" spans="1:3" x14ac:dyDescent="0.3">
      <c r="A38">
        <v>36</v>
      </c>
      <c r="B38">
        <v>98</v>
      </c>
      <c r="C38">
        <v>0</v>
      </c>
    </row>
  </sheetData>
  <autoFilter ref="A1:C38" xr:uid="{FBC52064-52F6-45F0-A5D9-03E5A32A1B1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D9C0-365D-4269-92C5-D498AE6FFA38}">
  <sheetPr filterMode="1"/>
  <dimension ref="A1:P40"/>
  <sheetViews>
    <sheetView tabSelected="1" workbookViewId="0">
      <selection activeCell="G26" sqref="G26"/>
    </sheetView>
  </sheetViews>
  <sheetFormatPr defaultRowHeight="14.4" x14ac:dyDescent="0.3"/>
  <cols>
    <col min="5" max="5" width="9.21875" customWidth="1"/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x14ac:dyDescent="0.3">
      <c r="A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x14ac:dyDescent="0.3">
      <c r="A3">
        <v>2</v>
      </c>
      <c r="C3">
        <v>10427</v>
      </c>
      <c r="D3">
        <v>0</v>
      </c>
      <c r="E3">
        <f t="shared" ref="E3:E34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x14ac:dyDescent="0.3">
      <c r="A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hidden="1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x14ac:dyDescent="0.3">
      <c r="A6">
        <v>5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x14ac:dyDescent="0.3">
      <c r="A7">
        <v>6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x14ac:dyDescent="0.3">
      <c r="A8">
        <v>7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x14ac:dyDescent="0.3">
      <c r="A9">
        <v>8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x14ac:dyDescent="0.3">
      <c r="A10">
        <v>9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hidden="1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/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hidden="1" x14ac:dyDescent="0.3">
      <c r="A13">
        <v>11</v>
      </c>
      <c r="B13">
        <v>3</v>
      </c>
      <c r="C13">
        <v>60410</v>
      </c>
      <c r="D13">
        <v>57</v>
      </c>
      <c r="E13">
        <f t="shared" si="0"/>
        <v>19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hidden="1" x14ac:dyDescent="0.3">
      <c r="A14">
        <v>12</v>
      </c>
      <c r="B14">
        <v>4</v>
      </c>
      <c r="C14">
        <v>18317</v>
      </c>
      <c r="D14">
        <v>69</v>
      </c>
      <c r="E14">
        <f t="shared" si="0"/>
        <v>23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hidden="1" x14ac:dyDescent="0.3">
      <c r="A15">
        <v>13</v>
      </c>
      <c r="B15">
        <v>5</v>
      </c>
      <c r="C15">
        <v>87315</v>
      </c>
      <c r="D15">
        <v>44</v>
      </c>
      <c r="E15">
        <f t="shared" si="0"/>
        <v>14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x14ac:dyDescent="0.3">
      <c r="A16">
        <v>15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hidden="1" x14ac:dyDescent="0.3">
      <c r="A17">
        <v>14</v>
      </c>
      <c r="B17">
        <v>6</v>
      </c>
      <c r="C17">
        <v>18310</v>
      </c>
      <c r="D17">
        <v>77</v>
      </c>
      <c r="E17">
        <f t="shared" si="0"/>
        <v>25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hidden="1" x14ac:dyDescent="0.3">
      <c r="A18">
        <v>16</v>
      </c>
      <c r="B18">
        <v>7</v>
      </c>
      <c r="C18">
        <v>87416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hidden="1" x14ac:dyDescent="0.3">
      <c r="A19">
        <v>17</v>
      </c>
      <c r="B19">
        <v>8</v>
      </c>
      <c r="C19">
        <v>87024</v>
      </c>
      <c r="D19">
        <v>78</v>
      </c>
      <c r="E19">
        <f t="shared" si="0"/>
        <v>26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hidden="1" x14ac:dyDescent="0.3">
      <c r="A20">
        <v>18</v>
      </c>
      <c r="B20">
        <v>9</v>
      </c>
      <c r="C20">
        <v>15306</v>
      </c>
      <c r="D20">
        <v>75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x14ac:dyDescent="0.3">
      <c r="A21">
        <v>20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hidden="1" x14ac:dyDescent="0.3">
      <c r="A22">
        <v>19</v>
      </c>
      <c r="B22">
        <v>10</v>
      </c>
      <c r="C22">
        <v>81433</v>
      </c>
      <c r="D22">
        <v>76</v>
      </c>
      <c r="E22">
        <f t="shared" si="0"/>
        <v>25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hidden="1" x14ac:dyDescent="0.3">
      <c r="A23">
        <v>21</v>
      </c>
      <c r="B23">
        <v>11</v>
      </c>
      <c r="C23" t="s">
        <v>33</v>
      </c>
      <c r="D23">
        <v>78</v>
      </c>
      <c r="E23">
        <f t="shared" si="0"/>
        <v>26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x14ac:dyDescent="0.3">
      <c r="A24">
        <v>23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x14ac:dyDescent="0.3">
      <c r="A25">
        <v>24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x14ac:dyDescent="0.3">
      <c r="A26">
        <v>25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hidden="1" x14ac:dyDescent="0.3">
      <c r="A27">
        <v>22</v>
      </c>
      <c r="B27">
        <v>12</v>
      </c>
      <c r="C27">
        <v>87027</v>
      </c>
      <c r="D27">
        <v>67</v>
      </c>
      <c r="E27">
        <f t="shared" si="0"/>
        <v>22</v>
      </c>
      <c r="F27">
        <v>0</v>
      </c>
      <c r="G27" t="b">
        <v>0</v>
      </c>
      <c r="J27">
        <v>0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hidden="1" x14ac:dyDescent="0.3">
      <c r="A28">
        <v>26</v>
      </c>
      <c r="B28">
        <v>13</v>
      </c>
      <c r="C28">
        <v>87021</v>
      </c>
      <c r="D28">
        <v>82</v>
      </c>
      <c r="E28">
        <f t="shared" ref="E28" si="1">INT(D28/3)</f>
        <v>27</v>
      </c>
      <c r="F28">
        <v>0</v>
      </c>
      <c r="G28" t="b">
        <v>0</v>
      </c>
      <c r="J28">
        <v>2</v>
      </c>
      <c r="K28">
        <v>1</v>
      </c>
      <c r="L28" s="2" t="s">
        <v>15</v>
      </c>
      <c r="M28" s="3"/>
      <c r="N28" s="4" t="s">
        <v>32</v>
      </c>
      <c r="O28">
        <v>90</v>
      </c>
      <c r="P28">
        <v>90</v>
      </c>
    </row>
    <row r="29" spans="1:16" hidden="1" x14ac:dyDescent="0.3">
      <c r="A29">
        <v>27</v>
      </c>
      <c r="B29">
        <v>14</v>
      </c>
      <c r="C29">
        <v>87026</v>
      </c>
      <c r="D29">
        <v>124</v>
      </c>
      <c r="E29">
        <f t="shared" si="0"/>
        <v>41</v>
      </c>
      <c r="F29">
        <v>0</v>
      </c>
      <c r="G29" t="b">
        <v>1</v>
      </c>
      <c r="H29">
        <v>30</v>
      </c>
      <c r="I29">
        <f t="shared" ref="I29:I34" si="2">INT(H29/3)+2</f>
        <v>12</v>
      </c>
      <c r="J29">
        <v>1</v>
      </c>
      <c r="K29">
        <v>1</v>
      </c>
      <c r="L29" s="2" t="s">
        <v>15</v>
      </c>
      <c r="P29">
        <v>243</v>
      </c>
    </row>
    <row r="30" spans="1:16" x14ac:dyDescent="0.3">
      <c r="A30">
        <v>28</v>
      </c>
      <c r="C30">
        <v>3211</v>
      </c>
      <c r="D30">
        <v>182</v>
      </c>
      <c r="E30">
        <f t="shared" si="0"/>
        <v>60</v>
      </c>
      <c r="F30">
        <v>0</v>
      </c>
      <c r="G30" t="b">
        <v>1</v>
      </c>
      <c r="H30">
        <v>23</v>
      </c>
      <c r="I30">
        <f t="shared" si="2"/>
        <v>9</v>
      </c>
      <c r="J30">
        <v>3</v>
      </c>
      <c r="K30">
        <v>2</v>
      </c>
      <c r="L30" s="2" t="s">
        <v>16</v>
      </c>
    </row>
    <row r="31" spans="1:16" x14ac:dyDescent="0.3">
      <c r="A31">
        <v>29</v>
      </c>
      <c r="C31">
        <v>60411</v>
      </c>
      <c r="D31">
        <v>214</v>
      </c>
      <c r="E31">
        <f t="shared" si="0"/>
        <v>71</v>
      </c>
      <c r="F31">
        <v>0</v>
      </c>
      <c r="G31" t="b">
        <v>1</v>
      </c>
      <c r="H31">
        <v>73</v>
      </c>
      <c r="I31">
        <f t="shared" si="2"/>
        <v>26</v>
      </c>
      <c r="J31">
        <v>1</v>
      </c>
      <c r="K31">
        <v>2</v>
      </c>
      <c r="L31" s="2" t="s">
        <v>17</v>
      </c>
    </row>
    <row r="32" spans="1:16" x14ac:dyDescent="0.3">
      <c r="A32">
        <v>30</v>
      </c>
      <c r="C32">
        <v>11022</v>
      </c>
      <c r="D32">
        <v>253</v>
      </c>
      <c r="E32">
        <f t="shared" si="0"/>
        <v>84</v>
      </c>
      <c r="F32">
        <v>1</v>
      </c>
      <c r="G32" t="b">
        <v>1</v>
      </c>
      <c r="H32">
        <v>59</v>
      </c>
      <c r="I32">
        <f t="shared" si="2"/>
        <v>21</v>
      </c>
      <c r="J32">
        <v>2</v>
      </c>
      <c r="K32">
        <v>2</v>
      </c>
      <c r="L32" s="2" t="s">
        <v>16</v>
      </c>
    </row>
    <row r="33" spans="1:16" x14ac:dyDescent="0.3">
      <c r="A33">
        <v>31</v>
      </c>
      <c r="C33">
        <v>18308</v>
      </c>
      <c r="D33">
        <v>244</v>
      </c>
      <c r="E33">
        <f t="shared" si="0"/>
        <v>81</v>
      </c>
      <c r="F33">
        <v>1</v>
      </c>
      <c r="G33" t="b">
        <v>0</v>
      </c>
      <c r="I33">
        <f t="shared" si="2"/>
        <v>2</v>
      </c>
      <c r="J33">
        <v>0</v>
      </c>
      <c r="K33">
        <v>2</v>
      </c>
      <c r="L33" s="2" t="s">
        <v>16</v>
      </c>
      <c r="M33" t="s">
        <v>27</v>
      </c>
    </row>
    <row r="34" spans="1:16" x14ac:dyDescent="0.3">
      <c r="A34">
        <v>32</v>
      </c>
      <c r="C34">
        <v>18422</v>
      </c>
      <c r="D34">
        <v>285</v>
      </c>
      <c r="E34">
        <f t="shared" si="0"/>
        <v>95</v>
      </c>
      <c r="F34">
        <v>1</v>
      </c>
      <c r="G34" t="b">
        <v>1</v>
      </c>
      <c r="H34">
        <v>49</v>
      </c>
      <c r="I34">
        <f t="shared" si="2"/>
        <v>18</v>
      </c>
      <c r="J34">
        <v>1</v>
      </c>
      <c r="K34">
        <v>2</v>
      </c>
      <c r="L34" s="1" t="s">
        <v>15</v>
      </c>
    </row>
    <row r="36" spans="1:16" x14ac:dyDescent="0.3">
      <c r="D36">
        <f>SUBTOTAL(9,D2:D35)</f>
        <v>1826</v>
      </c>
      <c r="E36">
        <f>SUBTOTAL(9,E2:E35)</f>
        <v>602</v>
      </c>
      <c r="P36">
        <f>SUBTOTAL(9,P5:P35)</f>
        <v>78</v>
      </c>
    </row>
    <row r="38" spans="1:16" x14ac:dyDescent="0.3">
      <c r="E38">
        <f>13*27</f>
        <v>351</v>
      </c>
      <c r="F38">
        <f>24*27</f>
        <v>648</v>
      </c>
    </row>
    <row r="40" spans="1:16" x14ac:dyDescent="0.3">
      <c r="E40">
        <f>E36-E38</f>
        <v>251</v>
      </c>
      <c r="F40">
        <f>E36-F38</f>
        <v>-46</v>
      </c>
    </row>
  </sheetData>
  <autoFilter ref="A1:O34" xr:uid="{67C5CE16-1F1B-483F-A08C-2277275ACBF3}">
    <filterColumn colId="10">
      <filters>
        <filter val="2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m</vt:lpstr>
      <vt:lpstr>p</vt:lpstr>
      <vt:lpstr>m (2)</vt:lpstr>
      <vt:lpstr>p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Олег Савилов</dc:creator>
  <cp:lastModifiedBy>Олег Савилов</cp:lastModifiedBy>
  <dcterms:created xsi:type="dcterms:W3CDTF">2026-02-01T07:33:28Z</dcterms:created>
  <dcterms:modified xsi:type="dcterms:W3CDTF">2026-02-10T20:49:47Z</dcterms:modified>
</cp:coreProperties>
</file>